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피드백 반영표" sheetId="1" state="visible" r:id="rId1"/>
    <sheet xmlns:r="http://schemas.openxmlformats.org/officeDocument/2006/relationships" name="면담 기록" sheetId="2" state="visible" r:id="rId2"/>
    <sheet xmlns:r="http://schemas.openxmlformats.org/officeDocument/2006/relationships" name="현황" sheetId="3" state="visible" r:id="rId3"/>
  </sheets>
  <definedNames>
    <definedName name="_xlnm._FilterDatabase" localSheetId="0" hidden="1">'피드백 반영표'!$A$3:$K$46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F3A5F"/>
      <sz val="14"/>
    </font>
    <font>
      <name val="맑은 고딕"/>
      <i val="1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1F3A5F"/>
      <sz val="12"/>
    </font>
    <font>
      <name val="맑은 고딕"/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40" customWidth="1" min="4" max="4"/>
    <col width="12" customWidth="1" min="5" max="5"/>
    <col width="36" customWidth="1" min="6" max="6"/>
    <col width="24" customWidth="1" min="7" max="7"/>
    <col width="11" customWidth="1" min="8" max="8"/>
    <col width="10" customWidth="1" min="9" max="9"/>
    <col width="11" customWidth="1" min="10" max="10"/>
    <col width="20" customWidth="1" min="11" max="11"/>
  </cols>
  <sheetData>
    <row r="1">
      <c r="A1" s="1" t="inlineStr">
        <is>
          <t>박사학위논문 피드백 반영표</t>
        </is>
      </c>
    </row>
    <row r="2">
      <c r="A2" s="2" t="inlineStr">
        <is>
          <t>지도교수·심사위원 의견을 한 줄씩 기록하고 반영 위치를 남깁니다. 심사 단계의 '수정 대조표'로 그대로 사용할 수 있습니다.</t>
        </is>
      </c>
    </row>
    <row r="3">
      <c r="A3" s="3" t="inlineStr">
        <is>
          <t>번호</t>
        </is>
      </c>
      <c r="B3" s="3" t="inlineStr">
        <is>
          <t>제기일</t>
        </is>
      </c>
      <c r="C3" s="3" t="inlineStr">
        <is>
          <t>출처</t>
        </is>
      </c>
      <c r="D3" s="3" t="inlineStr">
        <is>
          <t>피드백 요지</t>
        </is>
      </c>
      <c r="E3" s="3" t="inlineStr">
        <is>
          <t>대상 장·절</t>
        </is>
      </c>
      <c r="F3" s="3" t="inlineStr">
        <is>
          <t>대응 방향</t>
        </is>
      </c>
      <c r="G3" s="3" t="inlineStr">
        <is>
          <t>반영 위치(파일·쪽)</t>
        </is>
      </c>
      <c r="H3" s="3" t="inlineStr">
        <is>
          <t>관련 커밋</t>
        </is>
      </c>
      <c r="I3" s="3" t="inlineStr">
        <is>
          <t>상태</t>
        </is>
      </c>
      <c r="J3" s="3" t="inlineStr">
        <is>
          <t>완료일</t>
        </is>
      </c>
      <c r="K3" s="3" t="inlineStr">
        <is>
          <t>비고</t>
        </is>
      </c>
    </row>
    <row r="4">
      <c r="A4" s="4">
        <f>IF(D4="","",ROW()-3)</f>
        <v/>
      </c>
      <c r="B4" s="4" t="inlineStr">
        <is>
          <t>2026-09-17</t>
        </is>
      </c>
      <c r="C4" s="4" t="inlineStr">
        <is>
          <t>지도교수</t>
        </is>
      </c>
      <c r="D4" s="5" t="inlineStr">
        <is>
          <t>투입·산출변수를 최대한 많이 확보</t>
        </is>
      </c>
      <c r="E4" s="5" t="inlineStr">
        <is>
          <t>제3장 2절 변수</t>
        </is>
      </c>
      <c r="F4" s="5" t="inlineStr">
        <is>
          <t>투입 8 × 산출 10, 환경 55개로 확대하고 판별력 검증(효율=1 비율 73.5%)</t>
        </is>
      </c>
      <c r="G4" s="5" t="inlineStr">
        <is>
          <t>진행보고 v2.0 7~10절 · 변수구성_최대안 v1.0</t>
        </is>
      </c>
      <c r="H4" s="4" t="inlineStr">
        <is>
          <t>8f92396</t>
        </is>
      </c>
      <c r="I4" s="4" t="inlineStr">
        <is>
          <t>보류</t>
        </is>
      </c>
      <c r="J4" s="4" t="inlineStr">
        <is>
          <t>2026-09-17</t>
        </is>
      </c>
      <c r="K4" s="5" t="inlineStr">
        <is>
          <t>주 분석은 3 × 4, 최대안은 민감도로 제안 — 확인 요청 둘째 · 9. 29. 지시(통계 중단)로 주제 확정 때까지 보류</t>
        </is>
      </c>
    </row>
    <row r="5">
      <c r="A5" s="4">
        <f>IF(D5="","",ROW()-3)</f>
        <v/>
      </c>
      <c r="B5" s="4" t="inlineStr">
        <is>
          <t>2026-09-22</t>
        </is>
      </c>
      <c r="C5" s="4" t="inlineStr">
        <is>
          <t>지도교수</t>
        </is>
      </c>
      <c r="D5" s="5" t="inlineStr">
        <is>
          <t>윈도우 분석 검토 (EMS에서 가능)</t>
        </is>
      </c>
      <c r="E5" s="5" t="inlineStr">
        <is>
          <t>제4장 강건성</t>
        </is>
      </c>
      <c r="F5" s="5" t="inlineStr">
        <is>
          <t>3년 창 8개·5년 창 6개를 CCR·BCC 로 계산(상관 0.978), EMS 입력 파일 준비</t>
        </is>
      </c>
      <c r="G5" s="5" t="inlineStr">
        <is>
          <t>진행보고 v2.0 11절 · EMS입력_윈도우분석.xlsx</t>
        </is>
      </c>
      <c r="H5" s="4" t="inlineStr">
        <is>
          <t>fbbefc9</t>
        </is>
      </c>
      <c r="I5" s="4" t="inlineStr">
        <is>
          <t>보류</t>
        </is>
      </c>
      <c r="J5" s="4" t="n"/>
      <c r="K5" s="5" t="inlineStr">
        <is>
          <t>남은 일: EMS 로 직접 돌려 결과 대조, 창 너비 확정(확인 요청 여덟째) · 9. 29. 지시(통계 중단)로 주제 확정 때까지 보류</t>
        </is>
      </c>
    </row>
    <row r="6">
      <c r="A6" s="4">
        <f>IF(D6="","",ROW()-3)</f>
        <v/>
      </c>
      <c r="B6" s="4" t="inlineStr">
        <is>
          <t>2026-09-23</t>
        </is>
      </c>
      <c r="C6" s="4" t="inlineStr">
        <is>
          <t>지도교수</t>
        </is>
      </c>
      <c r="D6" s="5" t="inlineStr">
        <is>
          <t>① 교육재정 비용변수 대폭 보강 — 회계별 분해</t>
        </is>
      </c>
      <c r="E6" s="5" t="inlineStr">
        <is>
          <t>분석모형·자료</t>
        </is>
      </c>
      <c r="F6" s="5" t="inlineStr">
        <is>
          <t>총교육비를 본회계·산학협력단·도서구입비·기계기구매입비 네 갈래 + 발전기금으로 분해(1,827행 합계 일치)</t>
        </is>
      </c>
      <c r="G6" s="5" t="inlineStr">
        <is>
          <t>진행보고 v2.0 13절 · build_cost_vars.py</t>
        </is>
      </c>
      <c r="H6" s="4" t="inlineStr">
        <is>
          <t>3490086</t>
        </is>
      </c>
      <c r="I6" s="4" t="inlineStr">
        <is>
          <t>완료</t>
        </is>
      </c>
      <c r="J6" s="4" t="inlineStr">
        <is>
          <t>2026-09-23</t>
        </is>
      </c>
      <c r="K6" s="5" t="inlineStr">
        <is>
          <t>국공립 97%·사립 98% 채움</t>
        </is>
      </c>
    </row>
    <row r="7">
      <c r="A7" s="4">
        <f>IF(D7="","",ROW()-3)</f>
        <v/>
      </c>
      <c r="B7" s="4" t="inlineStr">
        <is>
          <t>2026-09-23</t>
        </is>
      </c>
      <c r="C7" s="4" t="inlineStr">
        <is>
          <t>지도교수</t>
        </is>
      </c>
      <c r="D7" s="5" t="inlineStr">
        <is>
          <t>① 비용변수 — 이중 계상 처리</t>
        </is>
      </c>
      <c r="E7" s="5" t="inlineStr">
        <is>
          <t>분석모형</t>
        </is>
      </c>
      <c r="F7" s="5" t="inlineStr">
        <is>
          <t>산학협력단 지출 ≈ 교외연구비(상관 0.969) 확인, 처리 방식 M0~M3 비교</t>
        </is>
      </c>
      <c r="G7" s="5" t="inlineStr">
        <is>
          <t>진행보고 v2.0 13절 · 이중계상_처리방식_비교.xlsx</t>
        </is>
      </c>
      <c r="H7" s="4" t="inlineStr">
        <is>
          <t>53981eb</t>
        </is>
      </c>
      <c r="I7" s="4" t="inlineStr">
        <is>
          <t>보류</t>
        </is>
      </c>
      <c r="J7" s="4" t="inlineStr">
        <is>
          <t>2026-09-23</t>
        </is>
      </c>
      <c r="K7" s="5" t="inlineStr">
        <is>
          <t>본회계 투입(M1) 채택 여부 — 확인 요청 열째 · 9. 29. 지시(통계 중단)로 주제 확정 때까지 보류</t>
        </is>
      </c>
    </row>
    <row r="8">
      <c r="A8" s="4">
        <f>IF(D8="","",ROW()-3)</f>
        <v/>
      </c>
      <c r="B8" s="4" t="inlineStr">
        <is>
          <t>2026-09-23</t>
        </is>
      </c>
      <c r="C8" s="4" t="inlineStr">
        <is>
          <t>지도교수</t>
        </is>
      </c>
      <c r="D8" s="5" t="inlineStr">
        <is>
          <t>① 비용변수 — 세출 비목(인건비·운영비 등) 보강</t>
        </is>
      </c>
      <c r="E8" s="5" t="inlineStr">
        <is>
          <t>분석모형·자료</t>
        </is>
      </c>
      <c r="F8" s="5" t="inlineStr">
        <is>
          <t>국공립 세출 비목 재파싱 필요(라벨 오염, 2015·2018·2021 분류 변경). 사립 재정알리미 비목은 국공립 미공시</t>
        </is>
      </c>
      <c r="G8" s="5" t="n"/>
      <c r="H8" s="4" t="n"/>
      <c r="I8" s="4" t="inlineStr">
        <is>
          <t>보류</t>
        </is>
      </c>
      <c r="J8" s="4" t="n"/>
      <c r="K8" s="5" t="inlineStr">
        <is>
          <t>「대폭 보강」의 비목 단위 보강은 아직 — 현재는 회계 단위 분해까지 · 9. 29. 지시(통계 중단)로 주제 확정 때까지 보류</t>
        </is>
      </c>
    </row>
    <row r="9">
      <c r="A9" s="4">
        <f>IF(D9="","",ROW()-3)</f>
        <v/>
      </c>
      <c r="B9" s="4" t="inlineStr">
        <is>
          <t>2026-09-23</t>
        </is>
      </c>
      <c r="C9" s="4" t="inlineStr">
        <is>
          <t>지도교수</t>
        </is>
      </c>
      <c r="D9" s="5" t="inlineStr">
        <is>
          <t>① 비용변수 — 확정 모형에 반영</t>
        </is>
      </c>
      <c r="E9" s="5" t="inlineStr">
        <is>
          <t>제3장 2절 · 진행보고 6~7절</t>
        </is>
      </c>
      <c r="F9" s="5" t="inlineStr">
        <is>
          <t>6절 분석모형 확정안·7절 투입변수 표는 아직 총교육비</t>
        </is>
      </c>
      <c r="G9" s="5" t="n"/>
      <c r="H9" s="4" t="n"/>
      <c r="I9" s="4" t="inlineStr">
        <is>
          <t>보류</t>
        </is>
      </c>
      <c r="J9" s="4" t="n"/>
      <c r="K9" s="5" t="inlineStr">
        <is>
          <t>확인 요청 열째 결정 후 6·7절과 연구계획서 변수표를 함께 수정</t>
        </is>
      </c>
    </row>
    <row r="10">
      <c r="A10" s="4">
        <f>IF(D10="","",ROW()-3)</f>
        <v/>
      </c>
      <c r="B10" s="4" t="inlineStr">
        <is>
          <t>2026-09-23</t>
        </is>
      </c>
      <c r="C10" s="4" t="inlineStr">
        <is>
          <t>지도교수</t>
        </is>
      </c>
      <c r="D10" s="5" t="inlineStr">
        <is>
          <t>② SFA 와 DEA 비교</t>
        </is>
      </c>
      <c r="E10" s="5" t="inlineStr">
        <is>
          <t>분석방법</t>
        </is>
      </c>
      <c r="F10" s="5" t="inlineStr">
        <is>
          <t>SFA 비용함수 추정기 작성·모의자료 검증, 16개 사양 추정, DEA 와 순위상관 0.53(비용 1개로 맞추면 0.68~0.72), BC95 결정요인</t>
        </is>
      </c>
      <c r="G10" s="5" t="inlineStr">
        <is>
          <t>진행보고 v2.0 14~15절 · 분석모형_전수검토 v1.0 · sfa.py</t>
        </is>
      </c>
      <c r="H10" s="4" t="inlineStr">
        <is>
          <t>d53650d</t>
        </is>
      </c>
      <c r="I10" s="4" t="inlineStr">
        <is>
          <t>완료</t>
        </is>
      </c>
      <c r="J10" s="4" t="inlineStr">
        <is>
          <t>2026-09-23</t>
        </is>
      </c>
      <c r="K10" s="5" t="inlineStr">
        <is>
          <t>41개 경우 종합</t>
        </is>
      </c>
    </row>
    <row r="11">
      <c r="A11" s="4">
        <f>IF(D11="","",ROW()-3)</f>
        <v/>
      </c>
      <c r="B11" s="4" t="inlineStr">
        <is>
          <t>2026-09-23</t>
        </is>
      </c>
      <c r="C11" s="4" t="inlineStr">
        <is>
          <t>지도교수</t>
        </is>
      </c>
      <c r="D11" s="5" t="inlineStr">
        <is>
          <t>② SFA — 주 모형 여부</t>
        </is>
      </c>
      <c r="E11" s="5" t="inlineStr">
        <is>
          <t>분석방법</t>
        </is>
      </c>
      <c r="F11" s="5" t="inlineStr">
        <is>
          <t>교차 검증으로 둘지 주 모형으로 올릴지 결정 요청</t>
        </is>
      </c>
      <c r="G11" s="5" t="inlineStr">
        <is>
          <t>진행보고 v2.0 18절</t>
        </is>
      </c>
      <c r="H11" s="4" t="n"/>
      <c r="I11" s="4" t="inlineStr">
        <is>
          <t>보류</t>
        </is>
      </c>
      <c r="J11" s="4" t="n"/>
      <c r="K11" s="5" t="inlineStr">
        <is>
          <t>확인 요청 열한째 · 9. 29. 지시(통계 중단)로 주제 확정 때까지 보류</t>
        </is>
      </c>
    </row>
    <row r="12">
      <c r="A12" s="4">
        <f>IF(D12="","",ROW()-3)</f>
        <v/>
      </c>
      <c r="B12" s="4" t="inlineStr">
        <is>
          <t>2026-09-23</t>
        </is>
      </c>
      <c r="C12" s="4" t="inlineStr">
        <is>
          <t>지도교수</t>
        </is>
      </c>
      <c r="D12" s="5" t="inlineStr">
        <is>
          <t>② SFA — 패널 SFA · 투입가격</t>
        </is>
      </c>
      <c r="E12" s="5" t="inlineStr">
        <is>
          <t>분석방법</t>
        </is>
      </c>
      <c r="F12" s="5" t="inlineStr">
        <is>
          <t>Greene(2005) TRE/TFE 패널 SFA 미추정, 투입가격 포함 비용함수 미추정</t>
        </is>
      </c>
      <c r="G12" s="5" t="n"/>
      <c r="H12" s="4" t="n"/>
      <c r="I12" s="4" t="inlineStr">
        <is>
          <t>보류</t>
        </is>
      </c>
      <c r="J12" s="4" t="n"/>
      <c r="K12" s="5" t="inlineStr">
        <is>
          <t>SFA 가 주 모형이 되면 착수. 투입가격은 Izadi 외(2002) 근거로 생략 중 · 9. 29. 지시(통계 중단)로 주제 확정 때까지 보류</t>
        </is>
      </c>
    </row>
    <row r="13">
      <c r="A13" s="4">
        <f>IF(D13="","",ROW()-3)</f>
        <v/>
      </c>
      <c r="B13" s="4" t="inlineStr">
        <is>
          <t>2026-09-23</t>
        </is>
      </c>
      <c r="C13" s="4" t="inlineStr">
        <is>
          <t>지도교수</t>
        </is>
      </c>
      <c r="D13" s="5" t="inlineStr">
        <is>
          <t>③ 관련 이론 정리</t>
        </is>
      </c>
      <c r="E13" s="5" t="inlineStr">
        <is>
          <t>제2장 1절</t>
        </is>
      </c>
      <c r="F13" s="5" t="inlineStr">
        <is>
          <t>근거 이론 7개 → 11개(T8 확률변경·비용쌍대성, T9 X-비효율, T10 규모·범위의 경제, T11 수입비용이론·비용질병), 비용 이론·SFA 문헌 20편 추가</t>
        </is>
      </c>
      <c r="G13" s="5" t="inlineStr">
        <is>
          <t>진행보고 v2.0 3~4절 · 근거이론_구성 v1.1</t>
        </is>
      </c>
      <c r="H13" s="4" t="inlineStr">
        <is>
          <t>92edc16</t>
        </is>
      </c>
      <c r="I13" s="4" t="inlineStr">
        <is>
          <t>완료</t>
        </is>
      </c>
      <c r="J13" s="4" t="inlineStr">
        <is>
          <t>2026-09-23</t>
        </is>
      </c>
      <c r="K13" s="5" t="n"/>
    </row>
    <row r="14">
      <c r="A14" s="4">
        <f>IF(D14="","",ROW()-3)</f>
        <v/>
      </c>
      <c r="B14" s="4" t="inlineStr">
        <is>
          <t>2026-09-23</t>
        </is>
      </c>
      <c r="C14" s="4" t="inlineStr">
        <is>
          <t>지도교수</t>
        </is>
      </c>
      <c r="D14" s="5" t="inlineStr">
        <is>
          <t>③ 이론 — 대표 문헌 원문 확보</t>
        </is>
      </c>
      <c r="E14" s="5" t="inlineStr">
        <is>
          <t>제2장 1절</t>
        </is>
      </c>
      <c r="F14" s="5" t="inlineStr">
        <is>
          <t>T8~T11 대표 문헌 원문 13편 미확보(0/13)</t>
        </is>
      </c>
      <c r="G14" s="5" t="n"/>
      <c r="H14" s="4" t="n"/>
      <c r="I14" s="4" t="inlineStr">
        <is>
          <t>미착수</t>
        </is>
      </c>
      <c r="J14" s="4" t="n"/>
      <c r="K14" s="5" t="inlineStr">
        <is>
          <t>구독 DB 는 직접 내려받기 필요</t>
        </is>
      </c>
    </row>
    <row r="15">
      <c r="A15" s="4">
        <f>IF(D15="","",ROW()-3)</f>
        <v/>
      </c>
      <c r="B15" s="4" t="inlineStr">
        <is>
          <t>2026-09-23</t>
        </is>
      </c>
      <c r="C15" s="4" t="inlineStr">
        <is>
          <t>지도교수</t>
        </is>
      </c>
      <c r="D15" s="5" t="inlineStr">
        <is>
          <t>③ 이론 — 진행보고 문헌 집계 갱신</t>
        </is>
      </c>
      <c r="E15" s="5" t="inlineStr">
        <is>
          <t>진행보고 16~17절 · 부록</t>
        </is>
      </c>
      <c r="F15" s="5" t="inlineStr">
        <is>
          <t>16·17절 집계와 부록에 20편 추가(237 → 257편), 19절 교차참조 제14절 → 제18절</t>
        </is>
      </c>
      <c r="G15" s="5" t="inlineStr">
        <is>
          <t>진행보고 v2.0 16·17절 · 부록 1·2</t>
        </is>
      </c>
      <c r="H15" s="4" t="n"/>
      <c r="I15" s="4" t="inlineStr">
        <is>
          <t>완료</t>
        </is>
      </c>
      <c r="J15" s="4" t="inlineStr">
        <is>
          <t>2026-09-23</t>
        </is>
      </c>
      <c r="K15" s="5" t="inlineStr">
        <is>
          <t>16절 표 A·D 영역 수치와 묶음 수(18 → 19개) 오류도 함께 바로잡음</t>
        </is>
      </c>
    </row>
    <row r="16">
      <c r="A16" s="4">
        <f>IF(D16="","",ROW()-3)</f>
        <v/>
      </c>
      <c r="B16" s="4" t="inlineStr">
        <is>
          <t>2026-09-28</t>
        </is>
      </c>
      <c r="C16" s="4" t="inlineStr">
        <is>
          <t>지도교수</t>
        </is>
      </c>
      <c r="D16" s="5" t="inlineStr">
        <is>
          <t>논문 쓴 거 내일(9. 29.)까지 보내주기 — 교수님 메일</t>
        </is>
      </c>
      <c r="E16" s="5" t="inlineStr">
        <is>
          <t>진행보고·원고</t>
        </is>
      </c>
      <c r="F16" s="5" t="inlineStr">
        <is>
          <t>분석 자료·진행보고·집필 현황 3종 준비, 메일 최종본 작성</t>
        </is>
      </c>
      <c r="G16" s="5" t="inlineStr">
        <is>
          <t>분석 자료 v1.5 · 진행보고 v2.0 · 집필 현황 v1.0</t>
        </is>
      </c>
      <c r="H16" s="4" t="n"/>
      <c r="I16" s="4" t="inlineStr">
        <is>
          <t>완료</t>
        </is>
      </c>
      <c r="J16" s="4" t="inlineStr">
        <is>
          <t>2026-09-29</t>
        </is>
      </c>
      <c r="K16" s="5" t="inlineStr">
        <is>
          <t>메일 송부 완료(9. 29.) — 첨부 3종</t>
        </is>
      </c>
    </row>
    <row r="17">
      <c r="A17" s="4">
        <f>IF(D17="","",ROW()-3)</f>
        <v/>
      </c>
      <c r="B17" s="4" t="inlineStr">
        <is>
          <t>2026-09-28</t>
        </is>
      </c>
      <c r="C17" s="4" t="inlineStr">
        <is>
          <t>지도교수</t>
        </is>
      </c>
      <c r="D17" s="5" t="inlineStr">
        <is>
          <t>일정 잡기 — 면담 일시</t>
        </is>
      </c>
      <c r="E17" s="5" t="inlineStr">
        <is>
          <t>면담</t>
        </is>
      </c>
      <c r="F17" s="5" t="inlineStr">
        <is>
          <t>메일에 후보 일시 자리를 마련, 집필 일정(안) 작성</t>
        </is>
      </c>
      <c r="G17" s="5" t="inlineStr">
        <is>
          <t>집필 현황 v1.0 · 메일 최종본</t>
        </is>
      </c>
      <c r="H17" s="4" t="n"/>
      <c r="I17" s="4" t="inlineStr">
        <is>
          <t>진행 중</t>
        </is>
      </c>
      <c r="J17" s="4" t="n"/>
      <c r="K17" s="5" t="inlineStr">
        <is>
          <t>교수님 회신 대기 — 면담 일시는 회신 뒤 확정</t>
        </is>
      </c>
    </row>
    <row r="18">
      <c r="A18" s="4">
        <f>IF(D18="","",ROW()-3)</f>
        <v/>
      </c>
      <c r="B18" s="4" t="inlineStr">
        <is>
          <t>2026-09-29</t>
        </is>
      </c>
      <c r="C18" s="4" t="inlineStr">
        <is>
          <t>지도교수</t>
        </is>
      </c>
      <c r="D18" s="5" t="inlineStr">
        <is>
          <t>(총평) 통계가 목적이 아님 — 제목·분석이 비슷한 논문이 있는지, 그와 무엇이 다른지가 핵심. 남이 한 연구를 다시 돌리면 석사논문</t>
        </is>
      </c>
      <c r="E18" s="5" t="inlineStr">
        <is>
          <t>제목 · 제1장</t>
        </is>
      </c>
      <c r="F18" s="5" t="inlineStr">
        <is>
          <t>현재 제목 다섯 요소가 모두 선행연구와 겹침을 점검(국내 55편, 그중 박사 15편 — 새로운 것은 분석 기간뿐). 물음을 「지역 단위 재정 배분 전제의 검증」으로 옮기고 제목 후보 3개 제시(① 권고)</t>
        </is>
      </c>
      <c r="G18" s="5" t="inlineStr">
        <is>
          <t>연구진술문_차별성 v1.0 5~6절</t>
        </is>
      </c>
      <c r="H18" s="4" t="inlineStr">
        <is>
          <t>a557316</t>
        </is>
      </c>
      <c r="I18" s="4" t="inlineStr">
        <is>
          <t>검토 요청</t>
        </is>
      </c>
      <c r="J18" s="4" t="inlineStr">
        <is>
          <t>2026-09-29</t>
        </is>
      </c>
      <c r="K18" s="5" t="inlineStr">
        <is>
          <t>연구 방향과 제목은 교수님 확인 필요 — 8절 여쭐 것 첫째·셋째</t>
        </is>
      </c>
    </row>
    <row r="19">
      <c r="A19" s="4">
        <f>IF(D19="","",ROW()-3)</f>
        <v/>
      </c>
      <c r="B19" s="4" t="inlineStr">
        <is>
          <t>2026-09-29</t>
        </is>
      </c>
      <c r="C19" s="4" t="inlineStr">
        <is>
          <t>지도교수</t>
        </is>
      </c>
      <c r="D19" s="5" t="inlineStr">
        <is>
          <t>① 박사연구가 해결할 사회적 문제, 왜 연구하는지(연구진술문)를 아주 구체적으로</t>
        </is>
      </c>
      <c r="E19" s="5" t="inlineStr">
        <is>
          <t>제1장 서론</t>
        </is>
      </c>
      <c r="F19" s="5" t="inlineStr">
        <is>
          <t>RISE → ANCHOR 의 시·도 단위 배분(1조 9,410억 → 2조 1,403억)이 기대는 두 전제와 전제가 틀렸을 때의 비용, 예비 검토(격차의 71.8% 개별 대학 · 3.0% 시·도), 강원·제주의 역설, 연구문제 3개로 재설정</t>
        </is>
      </c>
      <c r="G19" s="5" t="inlineStr">
        <is>
          <t>연구진술문_차별성 v1.0 2~3절</t>
        </is>
      </c>
      <c r="H19" s="4" t="inlineStr">
        <is>
          <t>a557316</t>
        </is>
      </c>
      <c r="I19" s="4" t="inlineStr">
        <is>
          <t>검토 요청</t>
        </is>
      </c>
      <c r="J19" s="4" t="inlineStr">
        <is>
          <t>2026-09-29</t>
        </is>
      </c>
      <c r="K19" s="5" t="inlineStr">
        <is>
          <t>학령인구·미충원 규모는 통계청·대학알리미 공표치로 보강 예정</t>
        </is>
      </c>
    </row>
    <row r="20">
      <c r="A20" s="4">
        <f>IF(D20="","",ROW()-3)</f>
        <v/>
      </c>
      <c r="B20" s="4" t="inlineStr">
        <is>
          <t>2026-09-29</t>
        </is>
      </c>
      <c r="C20" s="4" t="inlineStr">
        <is>
          <t>지도교수</t>
        </is>
      </c>
      <c r="D20" s="5" t="inlineStr">
        <is>
          <t>② 기존 논문과 다른 본인만의 관점(이론) — 기존 교육재정 논문과 여러 각도에서 집중 비교 (교수님이 가장 보고 싶은 부분)</t>
        </is>
      </c>
      <c r="E20" s="5" t="inlineStr">
        <is>
          <t>제2장 · 제1장</t>
        </is>
      </c>
      <c r="F20" s="5" t="inlineStr">
        <is>
          <t>차별성 여섯 각도(물음 · 격차를 보는 방식 · 정책 · 교육재정의 축 · 이론 · 방법). 장소 기반 정책 논쟁 + 생태학적 오류를 중심 관점으로, 교육재정 문헌 5편과 비교, 가장 가까운 선행연구 이창원·김한나(2025) 명시, 이론 11개 재배치</t>
        </is>
      </c>
      <c r="G20" s="5" t="inlineStr">
        <is>
          <t>연구진술문_차별성 v1.0 4절 · 콘솔 문헌 D5·D6 묶음(266편)</t>
        </is>
      </c>
      <c r="H20" s="4" t="inlineStr">
        <is>
          <t>a557316 · 45567a5</t>
        </is>
      </c>
      <c r="I20" s="4" t="inlineStr">
        <is>
          <t>검토 요청</t>
        </is>
      </c>
      <c r="J20" s="4" t="inlineStr">
        <is>
          <t>2026-09-29</t>
        </is>
      </c>
      <c r="K20" s="5" t="inlineStr">
        <is>
          <t>선행연구 6편 본문 확인 필요 — 8절 여쭐 것 둘째</t>
        </is>
      </c>
    </row>
    <row r="21">
      <c r="A21" s="4">
        <f>IF(D21="","",ROW()-3)</f>
        <v/>
      </c>
      <c r="B21" s="4" t="inlineStr">
        <is>
          <t>2026-09-29</t>
        </is>
      </c>
      <c r="C21" s="4" t="inlineStr">
        <is>
          <t>지도교수</t>
        </is>
      </c>
      <c r="D21" s="5" t="inlineStr">
        <is>
          <t>③ 통계는 더 이상 돌리지 말고 서론과 차별성을 집중적으로 써서 제출</t>
        </is>
      </c>
      <c r="E21" s="5" t="inlineStr">
        <is>
          <t>제출</t>
        </is>
      </c>
      <c r="F21" s="5" t="inlineStr">
        <is>
          <t>서론(연구진술문)과 차별성 문서 작성 — 한글 약 7,600자 · 표 5개, 새 통계 분석 없음(인용 수치는 진행보고 v2.0 12절)</t>
        </is>
      </c>
      <c r="G21" s="5" t="inlineStr">
        <is>
          <t>박사학위논문_연구진술문_차별성_석재영_v1.0.hwpx</t>
        </is>
      </c>
      <c r="H21" s="4" t="inlineStr">
        <is>
          <t>a557316</t>
        </is>
      </c>
      <c r="I21" s="4" t="inlineStr">
        <is>
          <t>진행 중</t>
        </is>
      </c>
      <c r="J21" s="4" t="n"/>
      <c r="K21" s="5" t="inlineStr">
        <is>
          <t>문서 작성 완료(9. 29.) — 교수님께 제출 필요</t>
        </is>
      </c>
    </row>
    <row r="22">
      <c r="A22" s="4">
        <f>IF(D22="","",ROW()-3)</f>
        <v/>
      </c>
      <c r="B22" s="4" t="inlineStr">
        <is>
          <t>2026-09-29</t>
        </is>
      </c>
      <c r="C22" s="4" t="inlineStr">
        <is>
          <t>지도교수</t>
        </is>
      </c>
      <c r="D22" s="5" t="inlineStr">
        <is>
          <t>④ 논문 주제가 명확히 잡히기 전에는 통계를 돌리지 말 것</t>
        </is>
      </c>
      <c r="E22" s="5" t="inlineStr">
        <is>
          <t>분석 전체</t>
        </is>
      </c>
      <c r="F22" s="5" t="inlineStr">
        <is>
          <t>분석에 딸린 항목(1·2·4·5·8·9번 — 변수 개수, 윈도우 EMS, 이중 계상, 세출 비목 재파싱, SFA 위상, 패널 SFA)을 주제 확정 때까지 보류</t>
        </is>
      </c>
      <c r="G22" s="5" t="inlineStr">
        <is>
          <t>이 반영표 1·2·4·5·8·9번 · 연구진술문_차별성 v1.0 7절</t>
        </is>
      </c>
      <c r="H22" s="4" t="n"/>
      <c r="I22" s="4" t="inlineStr">
        <is>
          <t>진행 중</t>
        </is>
      </c>
      <c r="J22" s="4" t="n"/>
      <c r="K22" s="5" t="inlineStr">
        <is>
          <t>주제 확정 때까지 유지</t>
        </is>
      </c>
    </row>
    <row r="23">
      <c r="A23" s="4">
        <f>IF(D23="","",ROW()-3)</f>
        <v/>
      </c>
      <c r="B23" s="4" t="n"/>
      <c r="C23" s="4" t="n"/>
      <c r="D23" s="5" t="n"/>
      <c r="E23" s="5" t="n"/>
      <c r="F23" s="5" t="n"/>
      <c r="G23" s="5" t="n"/>
      <c r="H23" s="4" t="n"/>
      <c r="I23" s="4" t="n"/>
      <c r="J23" s="4" t="n"/>
      <c r="K23" s="5" t="n"/>
    </row>
    <row r="24">
      <c r="A24" s="4">
        <f>IF(D24="","",ROW()-3)</f>
        <v/>
      </c>
      <c r="B24" s="4" t="n"/>
      <c r="C24" s="4" t="n"/>
      <c r="D24" s="5" t="n"/>
      <c r="E24" s="5" t="n"/>
      <c r="F24" s="5" t="n"/>
      <c r="G24" s="5" t="n"/>
      <c r="H24" s="4" t="n"/>
      <c r="I24" s="4" t="n"/>
      <c r="J24" s="4" t="n"/>
      <c r="K24" s="5" t="n"/>
    </row>
    <row r="25">
      <c r="A25" s="4">
        <f>IF(D25="","",ROW()-3)</f>
        <v/>
      </c>
      <c r="B25" s="4" t="n"/>
      <c r="C25" s="4" t="n"/>
      <c r="D25" s="5" t="n"/>
      <c r="E25" s="5" t="n"/>
      <c r="F25" s="5" t="n"/>
      <c r="G25" s="5" t="n"/>
      <c r="H25" s="4" t="n"/>
      <c r="I25" s="4" t="n"/>
      <c r="J25" s="4" t="n"/>
      <c r="K25" s="5" t="n"/>
    </row>
    <row r="26">
      <c r="A26" s="4">
        <f>IF(D26="","",ROW()-3)</f>
        <v/>
      </c>
      <c r="B26" s="4" t="n"/>
      <c r="C26" s="4" t="n"/>
      <c r="D26" s="5" t="n"/>
      <c r="E26" s="5" t="n"/>
      <c r="F26" s="5" t="n"/>
      <c r="G26" s="5" t="n"/>
      <c r="H26" s="4" t="n"/>
      <c r="I26" s="4" t="n"/>
      <c r="J26" s="4" t="n"/>
      <c r="K26" s="5" t="n"/>
    </row>
    <row r="27">
      <c r="A27" s="4">
        <f>IF(D27="","",ROW()-3)</f>
        <v/>
      </c>
      <c r="B27" s="4" t="n"/>
      <c r="C27" s="4" t="n"/>
      <c r="D27" s="5" t="n"/>
      <c r="E27" s="5" t="n"/>
      <c r="F27" s="5" t="n"/>
      <c r="G27" s="5" t="n"/>
      <c r="H27" s="4" t="n"/>
      <c r="I27" s="4" t="n"/>
      <c r="J27" s="4" t="n"/>
      <c r="K27" s="5" t="n"/>
    </row>
    <row r="28">
      <c r="A28" s="4">
        <f>IF(D28="","",ROW()-3)</f>
        <v/>
      </c>
      <c r="B28" s="4" t="n"/>
      <c r="C28" s="4" t="n"/>
      <c r="D28" s="5" t="n"/>
      <c r="E28" s="5" t="n"/>
      <c r="F28" s="5" t="n"/>
      <c r="G28" s="5" t="n"/>
      <c r="H28" s="4" t="n"/>
      <c r="I28" s="4" t="n"/>
      <c r="J28" s="4" t="n"/>
      <c r="K28" s="5" t="n"/>
    </row>
    <row r="29">
      <c r="A29" s="4">
        <f>IF(D29="","",ROW()-3)</f>
        <v/>
      </c>
      <c r="B29" s="4" t="n"/>
      <c r="C29" s="4" t="n"/>
      <c r="D29" s="5" t="n"/>
      <c r="E29" s="5" t="n"/>
      <c r="F29" s="5" t="n"/>
      <c r="G29" s="5" t="n"/>
      <c r="H29" s="4" t="n"/>
      <c r="I29" s="4" t="n"/>
      <c r="J29" s="4" t="n"/>
      <c r="K29" s="5" t="n"/>
    </row>
    <row r="30">
      <c r="A30" s="4">
        <f>IF(D30="","",ROW()-3)</f>
        <v/>
      </c>
      <c r="B30" s="4" t="n"/>
      <c r="C30" s="4" t="n"/>
      <c r="D30" s="5" t="n"/>
      <c r="E30" s="5" t="n"/>
      <c r="F30" s="5" t="n"/>
      <c r="G30" s="5" t="n"/>
      <c r="H30" s="4" t="n"/>
      <c r="I30" s="4" t="n"/>
      <c r="J30" s="4" t="n"/>
      <c r="K30" s="5" t="n"/>
    </row>
    <row r="31">
      <c r="A31" s="4">
        <f>IF(D31="","",ROW()-3)</f>
        <v/>
      </c>
      <c r="B31" s="4" t="n"/>
      <c r="C31" s="4" t="n"/>
      <c r="D31" s="5" t="n"/>
      <c r="E31" s="5" t="n"/>
      <c r="F31" s="5" t="n"/>
      <c r="G31" s="5" t="n"/>
      <c r="H31" s="4" t="n"/>
      <c r="I31" s="4" t="n"/>
      <c r="J31" s="4" t="n"/>
      <c r="K31" s="5" t="n"/>
    </row>
    <row r="32">
      <c r="A32" s="4">
        <f>IF(D32="","",ROW()-3)</f>
        <v/>
      </c>
      <c r="B32" s="4" t="n"/>
      <c r="C32" s="4" t="n"/>
      <c r="D32" s="5" t="n"/>
      <c r="E32" s="5" t="n"/>
      <c r="F32" s="5" t="n"/>
      <c r="G32" s="5" t="n"/>
      <c r="H32" s="4" t="n"/>
      <c r="I32" s="4" t="n"/>
      <c r="J32" s="4" t="n"/>
      <c r="K32" s="5" t="n"/>
    </row>
    <row r="33">
      <c r="A33" s="4">
        <f>IF(D33="","",ROW()-3)</f>
        <v/>
      </c>
      <c r="B33" s="4" t="n"/>
      <c r="C33" s="4" t="n"/>
      <c r="D33" s="5" t="n"/>
      <c r="E33" s="5" t="n"/>
      <c r="F33" s="5" t="n"/>
      <c r="G33" s="5" t="n"/>
      <c r="H33" s="4" t="n"/>
      <c r="I33" s="4" t="n"/>
      <c r="J33" s="4" t="n"/>
      <c r="K33" s="5" t="n"/>
    </row>
    <row r="34">
      <c r="A34" s="4">
        <f>IF(D34="","",ROW()-3)</f>
        <v/>
      </c>
      <c r="B34" s="4" t="n"/>
      <c r="C34" s="4" t="n"/>
      <c r="D34" s="5" t="n"/>
      <c r="E34" s="5" t="n"/>
      <c r="F34" s="5" t="n"/>
      <c r="G34" s="5" t="n"/>
      <c r="H34" s="4" t="n"/>
      <c r="I34" s="4" t="n"/>
      <c r="J34" s="4" t="n"/>
      <c r="K34" s="5" t="n"/>
    </row>
    <row r="35">
      <c r="A35" s="4">
        <f>IF(D35="","",ROW()-3)</f>
        <v/>
      </c>
      <c r="B35" s="4" t="n"/>
      <c r="C35" s="4" t="n"/>
      <c r="D35" s="5" t="n"/>
      <c r="E35" s="5" t="n"/>
      <c r="F35" s="5" t="n"/>
      <c r="G35" s="5" t="n"/>
      <c r="H35" s="4" t="n"/>
      <c r="I35" s="4" t="n"/>
      <c r="J35" s="4" t="n"/>
      <c r="K35" s="5" t="n"/>
    </row>
    <row r="36">
      <c r="A36" s="4">
        <f>IF(D36="","",ROW()-3)</f>
        <v/>
      </c>
      <c r="B36" s="4" t="n"/>
      <c r="C36" s="4" t="n"/>
      <c r="D36" s="5" t="n"/>
      <c r="E36" s="5" t="n"/>
      <c r="F36" s="5" t="n"/>
      <c r="G36" s="5" t="n"/>
      <c r="H36" s="4" t="n"/>
      <c r="I36" s="4" t="n"/>
      <c r="J36" s="4" t="n"/>
      <c r="K36" s="5" t="n"/>
    </row>
    <row r="37">
      <c r="A37" s="4">
        <f>IF(D37="","",ROW()-3)</f>
        <v/>
      </c>
      <c r="B37" s="4" t="n"/>
      <c r="C37" s="4" t="n"/>
      <c r="D37" s="5" t="n"/>
      <c r="E37" s="5" t="n"/>
      <c r="F37" s="5" t="n"/>
      <c r="G37" s="5" t="n"/>
      <c r="H37" s="4" t="n"/>
      <c r="I37" s="4" t="n"/>
      <c r="J37" s="4" t="n"/>
      <c r="K37" s="5" t="n"/>
    </row>
    <row r="38">
      <c r="A38" s="4">
        <f>IF(D38="","",ROW()-3)</f>
        <v/>
      </c>
      <c r="B38" s="4" t="n"/>
      <c r="C38" s="4" t="n"/>
      <c r="D38" s="5" t="n"/>
      <c r="E38" s="5" t="n"/>
      <c r="F38" s="5" t="n"/>
      <c r="G38" s="5" t="n"/>
      <c r="H38" s="4" t="n"/>
      <c r="I38" s="4" t="n"/>
      <c r="J38" s="4" t="n"/>
      <c r="K38" s="5" t="n"/>
    </row>
    <row r="39">
      <c r="A39" s="4">
        <f>IF(D39="","",ROW()-3)</f>
        <v/>
      </c>
      <c r="B39" s="4" t="n"/>
      <c r="C39" s="4" t="n"/>
      <c r="D39" s="5" t="n"/>
      <c r="E39" s="5" t="n"/>
      <c r="F39" s="5" t="n"/>
      <c r="G39" s="5" t="n"/>
      <c r="H39" s="4" t="n"/>
      <c r="I39" s="4" t="n"/>
      <c r="J39" s="4" t="n"/>
      <c r="K39" s="5" t="n"/>
    </row>
    <row r="40">
      <c r="A40" s="4">
        <f>IF(D40="","",ROW()-3)</f>
        <v/>
      </c>
      <c r="B40" s="4" t="n"/>
      <c r="C40" s="4" t="n"/>
      <c r="D40" s="5" t="n"/>
      <c r="E40" s="5" t="n"/>
      <c r="F40" s="5" t="n"/>
      <c r="G40" s="5" t="n"/>
      <c r="H40" s="4" t="n"/>
      <c r="I40" s="4" t="n"/>
      <c r="J40" s="4" t="n"/>
      <c r="K40" s="5" t="n"/>
    </row>
    <row r="41">
      <c r="A41" s="4">
        <f>IF(D41="","",ROW()-3)</f>
        <v/>
      </c>
      <c r="B41" s="4" t="n"/>
      <c r="C41" s="4" t="n"/>
      <c r="D41" s="5" t="n"/>
      <c r="E41" s="5" t="n"/>
      <c r="F41" s="5" t="n"/>
      <c r="G41" s="5" t="n"/>
      <c r="H41" s="4" t="n"/>
      <c r="I41" s="4" t="n"/>
      <c r="J41" s="4" t="n"/>
      <c r="K41" s="5" t="n"/>
    </row>
    <row r="42">
      <c r="A42" s="4">
        <f>IF(D42="","",ROW()-3)</f>
        <v/>
      </c>
      <c r="B42" s="4" t="n"/>
      <c r="C42" s="4" t="n"/>
      <c r="D42" s="5" t="n"/>
      <c r="E42" s="5" t="n"/>
      <c r="F42" s="5" t="n"/>
      <c r="G42" s="5" t="n"/>
      <c r="H42" s="4" t="n"/>
      <c r="I42" s="4" t="n"/>
      <c r="J42" s="4" t="n"/>
      <c r="K42" s="5" t="n"/>
    </row>
    <row r="43">
      <c r="A43" s="4">
        <f>IF(D43="","",ROW()-3)</f>
        <v/>
      </c>
      <c r="B43" s="4" t="n"/>
      <c r="C43" s="4" t="n"/>
      <c r="D43" s="5" t="n"/>
      <c r="E43" s="5" t="n"/>
      <c r="F43" s="5" t="n"/>
      <c r="G43" s="5" t="n"/>
      <c r="H43" s="4" t="n"/>
      <c r="I43" s="4" t="n"/>
      <c r="J43" s="4" t="n"/>
      <c r="K43" s="5" t="n"/>
    </row>
    <row r="44">
      <c r="A44" s="4">
        <f>IF(D44="","",ROW()-3)</f>
        <v/>
      </c>
      <c r="B44" s="4" t="n"/>
      <c r="C44" s="4" t="n"/>
      <c r="D44" s="5" t="n"/>
      <c r="E44" s="5" t="n"/>
      <c r="F44" s="5" t="n"/>
      <c r="G44" s="5" t="n"/>
      <c r="H44" s="4" t="n"/>
      <c r="I44" s="4" t="n"/>
      <c r="J44" s="4" t="n"/>
      <c r="K44" s="5" t="n"/>
    </row>
    <row r="45">
      <c r="A45" s="4">
        <f>IF(D45="","",ROW()-3)</f>
        <v/>
      </c>
      <c r="B45" s="4" t="n"/>
      <c r="C45" s="4" t="n"/>
      <c r="D45" s="5" t="n"/>
      <c r="E45" s="5" t="n"/>
      <c r="F45" s="5" t="n"/>
      <c r="G45" s="5" t="n"/>
      <c r="H45" s="4" t="n"/>
      <c r="I45" s="4" t="n"/>
      <c r="J45" s="4" t="n"/>
      <c r="K45" s="5" t="n"/>
    </row>
    <row r="46">
      <c r="A46" s="4">
        <f>IF(D46="","",ROW()-3)</f>
        <v/>
      </c>
      <c r="B46" s="4" t="n"/>
      <c r="C46" s="4" t="n"/>
      <c r="D46" s="5" t="n"/>
      <c r="E46" s="5" t="n"/>
      <c r="F46" s="5" t="n"/>
      <c r="G46" s="5" t="n"/>
      <c r="H46" s="4" t="n"/>
      <c r="I46" s="4" t="n"/>
      <c r="J46" s="4" t="n"/>
      <c r="K46" s="5" t="n"/>
    </row>
  </sheetData>
  <autoFilter ref="A3:K46"/>
  <mergeCells count="2">
    <mergeCell ref="A2:K2"/>
    <mergeCell ref="A1:K1"/>
  </mergeCells>
  <conditionalFormatting sqref="I4:I46">
    <cfRule type="expression" priority="1" dxfId="0">
      <formula>$I4="완료"</formula>
    </cfRule>
    <cfRule type="expression" priority="2" dxfId="1">
      <formula>$I4="진행 중"</formula>
    </cfRule>
    <cfRule type="expression" priority="3" dxfId="2">
      <formula>$I4="검토 요청"</formula>
    </cfRule>
    <cfRule type="expression" priority="4" dxfId="3">
      <formula>$I4="보류"</formula>
    </cfRule>
  </conditionalFormatting>
  <dataValidations count="2">
    <dataValidation sqref="I4:I46" showDropDown="0" showInputMessage="0" showErrorMessage="0" allowBlank="1" type="list">
      <formula1>"미착수,진행 중,검토 요청,완료,보류"</formula1>
    </dataValidation>
    <dataValidation sqref="C4:C46" showDropDown="0" showInputMessage="0" showErrorMessage="0" allowBlank="1" type="list">
      <formula1>"지도교수,심사위원,학과,본인"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9" customWidth="1" min="3" max="3"/>
    <col width="45" customWidth="1" min="4" max="4"/>
    <col width="35" customWidth="1" min="5" max="5"/>
    <col width="12" customWidth="1" min="6" max="6"/>
    <col width="30" customWidth="1" min="7" max="7"/>
  </cols>
  <sheetData>
    <row r="1">
      <c r="A1" s="6" t="inlineStr">
        <is>
          <t>회차</t>
        </is>
      </c>
      <c r="B1" s="6" t="inlineStr">
        <is>
          <t>일자</t>
        </is>
      </c>
      <c r="C1" s="6" t="inlineStr">
        <is>
          <t>방식</t>
        </is>
      </c>
      <c r="D1" s="6" t="inlineStr">
        <is>
          <t>주요 합의 사항</t>
        </is>
      </c>
      <c r="E1" s="6" t="inlineStr">
        <is>
          <t>결정 요청 결과</t>
        </is>
      </c>
      <c r="F1" s="6" t="inlineStr">
        <is>
          <t>다음 면담</t>
        </is>
      </c>
      <c r="G1" s="6" t="inlineStr">
        <is>
          <t>요약 파일</t>
        </is>
      </c>
    </row>
    <row r="2">
      <c r="A2" s="7" t="n">
        <v>1</v>
      </c>
      <c r="B2" s="7" t="n"/>
      <c r="C2" s="7" t="n"/>
      <c r="D2" s="7" t="n"/>
      <c r="E2" s="7" t="n"/>
      <c r="F2" s="7" t="n"/>
      <c r="G2" s="7" t="n"/>
    </row>
    <row r="3">
      <c r="A3" s="7" t="n">
        <v>2</v>
      </c>
      <c r="B3" s="7" t="n"/>
      <c r="C3" s="7" t="n"/>
      <c r="D3" s="7" t="n"/>
      <c r="E3" s="7" t="n"/>
      <c r="F3" s="7" t="n"/>
      <c r="G3" s="7" t="n"/>
    </row>
    <row r="4">
      <c r="A4" s="7" t="n">
        <v>3</v>
      </c>
      <c r="B4" s="7" t="n"/>
      <c r="C4" s="7" t="n"/>
      <c r="D4" s="7" t="n"/>
      <c r="E4" s="7" t="n"/>
      <c r="F4" s="7" t="n"/>
      <c r="G4" s="7" t="n"/>
    </row>
    <row r="5">
      <c r="A5" s="7" t="n">
        <v>4</v>
      </c>
      <c r="B5" s="7" t="n"/>
      <c r="C5" s="7" t="n"/>
      <c r="D5" s="7" t="n"/>
      <c r="E5" s="7" t="n"/>
      <c r="F5" s="7" t="n"/>
      <c r="G5" s="7" t="n"/>
    </row>
    <row r="6">
      <c r="A6" s="7" t="n">
        <v>5</v>
      </c>
      <c r="B6" s="7" t="n"/>
      <c r="C6" s="7" t="n"/>
      <c r="D6" s="7" t="n"/>
      <c r="E6" s="7" t="n"/>
      <c r="F6" s="7" t="n"/>
      <c r="G6" s="7" t="n"/>
    </row>
    <row r="7">
      <c r="A7" s="7" t="n">
        <v>6</v>
      </c>
      <c r="B7" s="7" t="n"/>
      <c r="C7" s="7" t="n"/>
      <c r="D7" s="7" t="n"/>
      <c r="E7" s="7" t="n"/>
      <c r="F7" s="7" t="n"/>
      <c r="G7" s="7" t="n"/>
    </row>
    <row r="8">
      <c r="A8" s="7" t="n">
        <v>7</v>
      </c>
      <c r="B8" s="7" t="n"/>
      <c r="C8" s="7" t="n"/>
      <c r="D8" s="7" t="n"/>
      <c r="E8" s="7" t="n"/>
      <c r="F8" s="7" t="n"/>
      <c r="G8" s="7" t="n"/>
    </row>
    <row r="9">
      <c r="A9" s="7" t="n">
        <v>8</v>
      </c>
      <c r="B9" s="7" t="n"/>
      <c r="C9" s="7" t="n"/>
      <c r="D9" s="7" t="n"/>
      <c r="E9" s="7" t="n"/>
      <c r="F9" s="7" t="n"/>
      <c r="G9" s="7" t="n"/>
    </row>
    <row r="10">
      <c r="A10" s="7" t="n">
        <v>9</v>
      </c>
      <c r="B10" s="7" t="n"/>
      <c r="C10" s="7" t="n"/>
      <c r="D10" s="7" t="n"/>
      <c r="E10" s="7" t="n"/>
      <c r="F10" s="7" t="n"/>
      <c r="G10" s="7" t="n"/>
    </row>
    <row r="11">
      <c r="A11" s="7" t="n">
        <v>10</v>
      </c>
      <c r="B11" s="7" t="n"/>
      <c r="C11" s="7" t="n"/>
      <c r="D11" s="7" t="n"/>
      <c r="E11" s="7" t="n"/>
      <c r="F11" s="7" t="n"/>
      <c r="G11" s="7" t="n"/>
    </row>
    <row r="12">
      <c r="A12" s="7" t="n">
        <v>11</v>
      </c>
      <c r="B12" s="7" t="n"/>
      <c r="C12" s="7" t="n"/>
      <c r="D12" s="7" t="n"/>
      <c r="E12" s="7" t="n"/>
      <c r="F12" s="7" t="n"/>
      <c r="G12" s="7" t="n"/>
    </row>
    <row r="13">
      <c r="A13" s="7" t="n">
        <v>12</v>
      </c>
      <c r="B13" s="7" t="n"/>
      <c r="C13" s="7" t="n"/>
      <c r="D13" s="7" t="n"/>
      <c r="E13" s="7" t="n"/>
      <c r="F13" s="7" t="n"/>
      <c r="G13" s="7" t="n"/>
    </row>
    <row r="14">
      <c r="A14" s="7" t="n">
        <v>13</v>
      </c>
      <c r="B14" s="7" t="n"/>
      <c r="C14" s="7" t="n"/>
      <c r="D14" s="7" t="n"/>
      <c r="E14" s="7" t="n"/>
      <c r="F14" s="7" t="n"/>
      <c r="G14" s="7" t="n"/>
    </row>
    <row r="15">
      <c r="A15" s="7" t="n">
        <v>14</v>
      </c>
      <c r="B15" s="7" t="n"/>
      <c r="C15" s="7" t="n"/>
      <c r="D15" s="7" t="n"/>
      <c r="E15" s="7" t="n"/>
      <c r="F15" s="7" t="n"/>
      <c r="G15" s="7" t="n"/>
    </row>
    <row r="16">
      <c r="A16" s="7" t="n">
        <v>15</v>
      </c>
      <c r="B16" s="7" t="n"/>
      <c r="C16" s="7" t="n"/>
      <c r="D16" s="7" t="n"/>
      <c r="E16" s="7" t="n"/>
      <c r="F16" s="7" t="n"/>
      <c r="G16" s="7" t="n"/>
    </row>
    <row r="17">
      <c r="A17" s="7" t="n">
        <v>16</v>
      </c>
      <c r="B17" s="7" t="n"/>
      <c r="C17" s="7" t="n"/>
      <c r="D17" s="7" t="n"/>
      <c r="E17" s="7" t="n"/>
      <c r="F17" s="7" t="n"/>
      <c r="G17" s="7" t="n"/>
    </row>
    <row r="18">
      <c r="A18" s="7" t="n">
        <v>17</v>
      </c>
      <c r="B18" s="7" t="n"/>
      <c r="C18" s="7" t="n"/>
      <c r="D18" s="7" t="n"/>
      <c r="E18" s="7" t="n"/>
      <c r="F18" s="7" t="n"/>
      <c r="G18" s="7" t="n"/>
    </row>
    <row r="19">
      <c r="A19" s="7" t="n">
        <v>18</v>
      </c>
      <c r="B19" s="7" t="n"/>
      <c r="C19" s="7" t="n"/>
      <c r="D19" s="7" t="n"/>
      <c r="E19" s="7" t="n"/>
      <c r="F19" s="7" t="n"/>
      <c r="G19" s="7" t="n"/>
    </row>
    <row r="20">
      <c r="A20" s="7" t="n">
        <v>19</v>
      </c>
      <c r="B20" s="7" t="n"/>
      <c r="C20" s="7" t="n"/>
      <c r="D20" s="7" t="n"/>
      <c r="E20" s="7" t="n"/>
      <c r="F20" s="7" t="n"/>
      <c r="G20" s="7" t="n"/>
    </row>
    <row r="21">
      <c r="A21" s="7" t="n">
        <v>20</v>
      </c>
      <c r="B21" s="7" t="n"/>
      <c r="C21" s="7" t="n"/>
      <c r="D21" s="7" t="n"/>
      <c r="E21" s="7" t="n"/>
      <c r="F21" s="7" t="n"/>
      <c r="G21" s="7" t="n"/>
    </row>
    <row r="22">
      <c r="A22" s="7" t="n">
        <v>21</v>
      </c>
      <c r="B22" s="7" t="n"/>
      <c r="C22" s="7" t="n"/>
      <c r="D22" s="7" t="n"/>
      <c r="E22" s="7" t="n"/>
      <c r="F22" s="7" t="n"/>
      <c r="G22" s="7" t="n"/>
    </row>
    <row r="23">
      <c r="A23" s="7" t="n">
        <v>22</v>
      </c>
      <c r="B23" s="7" t="n"/>
      <c r="C23" s="7" t="n"/>
      <c r="D23" s="7" t="n"/>
      <c r="E23" s="7" t="n"/>
      <c r="F23" s="7" t="n"/>
      <c r="G23" s="7" t="n"/>
    </row>
    <row r="24">
      <c r="A24" s="7" t="n">
        <v>23</v>
      </c>
      <c r="B24" s="7" t="n"/>
      <c r="C24" s="7" t="n"/>
      <c r="D24" s="7" t="n"/>
      <c r="E24" s="7" t="n"/>
      <c r="F24" s="7" t="n"/>
      <c r="G24" s="7" t="n"/>
    </row>
    <row r="25">
      <c r="A25" s="7" t="n">
        <v>24</v>
      </c>
      <c r="B25" s="7" t="n"/>
      <c r="C25" s="7" t="n"/>
      <c r="D25" s="7" t="n"/>
      <c r="E25" s="7" t="n"/>
      <c r="F25" s="7" t="n"/>
      <c r="G25" s="7" t="n"/>
    </row>
    <row r="26">
      <c r="A26" s="7" t="n">
        <v>25</v>
      </c>
      <c r="B26" s="7" t="n"/>
      <c r="C26" s="7" t="n"/>
      <c r="D26" s="7" t="n"/>
      <c r="E26" s="7" t="n"/>
      <c r="F26" s="7" t="n"/>
      <c r="G26" s="7" t="n"/>
    </row>
    <row r="27">
      <c r="A27" s="7" t="n">
        <v>26</v>
      </c>
      <c r="B27" s="7" t="n"/>
      <c r="C27" s="7" t="n"/>
      <c r="D27" s="7" t="n"/>
      <c r="E27" s="7" t="n"/>
      <c r="F27" s="7" t="n"/>
      <c r="G27" s="7" t="n"/>
    </row>
    <row r="28">
      <c r="A28" s="7" t="n">
        <v>27</v>
      </c>
      <c r="B28" s="7" t="n"/>
      <c r="C28" s="7" t="n"/>
      <c r="D28" s="7" t="n"/>
      <c r="E28" s="7" t="n"/>
      <c r="F28" s="7" t="n"/>
      <c r="G28" s="7" t="n"/>
    </row>
    <row r="29">
      <c r="A29" s="7" t="n">
        <v>28</v>
      </c>
      <c r="B29" s="7" t="n"/>
      <c r="C29" s="7" t="n"/>
      <c r="D29" s="7" t="n"/>
      <c r="E29" s="7" t="n"/>
      <c r="F29" s="7" t="n"/>
      <c r="G29" s="7" t="n"/>
    </row>
    <row r="30">
      <c r="A30" s="7" t="n">
        <v>29</v>
      </c>
      <c r="B30" s="7" t="n"/>
      <c r="C30" s="7" t="n"/>
      <c r="D30" s="7" t="n"/>
      <c r="E30" s="7" t="n"/>
      <c r="F30" s="7" t="n"/>
      <c r="G30" s="7" t="n"/>
    </row>
    <row r="31">
      <c r="A31" s="7" t="n">
        <v>30</v>
      </c>
      <c r="B31" s="7" t="n"/>
      <c r="C31" s="7" t="n"/>
      <c r="D31" s="7" t="n"/>
      <c r="E31" s="7" t="n"/>
      <c r="F31" s="7" t="n"/>
      <c r="G31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8" t="inlineStr">
        <is>
          <t>상태별 건수</t>
        </is>
      </c>
    </row>
    <row r="3">
      <c r="A3" s="9" t="inlineStr">
        <is>
          <t>미착수</t>
        </is>
      </c>
      <c r="B3" s="9">
        <f>COUNTIF('피드백 반영표'!I:I,A3)</f>
        <v/>
      </c>
    </row>
    <row r="4">
      <c r="A4" s="9" t="inlineStr">
        <is>
          <t>진행 중</t>
        </is>
      </c>
      <c r="B4" s="9">
        <f>COUNTIF('피드백 반영표'!I:I,A4)</f>
        <v/>
      </c>
    </row>
    <row r="5">
      <c r="A5" s="9" t="inlineStr">
        <is>
          <t>검토 요청</t>
        </is>
      </c>
      <c r="B5" s="9">
        <f>COUNTIF('피드백 반영표'!I:I,A5)</f>
        <v/>
      </c>
    </row>
    <row r="6">
      <c r="A6" s="9" t="inlineStr">
        <is>
          <t>완료</t>
        </is>
      </c>
      <c r="B6" s="9">
        <f>COUNTIF('피드백 반영표'!I:I,A6)</f>
        <v/>
      </c>
    </row>
    <row r="7">
      <c r="A7" s="9" t="inlineStr">
        <is>
          <t>보류</t>
        </is>
      </c>
      <c r="B7" s="9">
        <f>COUNTIF('피드백 반영표'!I:I,A7)</f>
        <v/>
      </c>
    </row>
    <row r="8">
      <c r="A8" s="10" t="inlineStr">
        <is>
          <t>합계</t>
        </is>
      </c>
      <c r="B8" s="10">
        <f>SUM(B3:B7)</f>
        <v/>
      </c>
    </row>
    <row r="9">
      <c r="A9" s="9" t="inlineStr">
        <is>
          <t>완료율</t>
        </is>
      </c>
      <c r="B9" s="11">
        <f>IF(B8=0,0,B6/B8)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2026-09-23T06:23:50Z</dcterms:created>
  <dcterms:modified xmlns:dcterms="http://purl.org/dc/terms/" xmlns:xsi="http://www.w3.org/2001/XMLSchema-instance" xsi:type="dcterms:W3CDTF">2026-09-29T14:26:22Z</dcterms:modified>
</cp:coreProperties>
</file>